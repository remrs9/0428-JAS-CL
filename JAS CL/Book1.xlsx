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XTB3NYJ\Desktop\JAS CL\"/>
    </mc:Choice>
  </mc:AlternateContent>
  <xr:revisionPtr revIDLastSave="0" documentId="13_ncr:1_{81DF4AED-EC2D-44AE-8663-34CA9C916124}" xr6:coauthVersionLast="47" xr6:coauthVersionMax="47" xr10:uidLastSave="{00000000-0000-0000-0000-000000000000}"/>
  <bookViews>
    <workbookView xWindow="390" yWindow="390" windowWidth="14430" windowHeight="12105" xr2:uid="{A274832F-6E1D-4BAD-A6DE-C79361E26590}"/>
  </bookViews>
  <sheets>
    <sheet name="TP" sheetId="1" r:id="rId1"/>
  </sheets>
  <externalReferences>
    <externalReference r:id="rId2"/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28" i="1" l="1"/>
  <c r="X28" i="1"/>
  <c r="O28" i="1"/>
  <c r="AE26" i="1"/>
  <c r="X26" i="1"/>
  <c r="O26" i="1"/>
  <c r="AE24" i="1"/>
  <c r="X24" i="1"/>
  <c r="O24" i="1"/>
  <c r="T15" i="1"/>
  <c r="T12" i="1"/>
  <c r="T9" i="1"/>
</calcChain>
</file>

<file path=xl/sharedStrings.xml><?xml version="1.0" encoding="utf-8"?>
<sst xmlns="http://schemas.openxmlformats.org/spreadsheetml/2006/main" count="48" uniqueCount="43">
  <si>
    <t>UPS Supply Chain Solutions</t>
  </si>
  <si>
    <t>Company</t>
  </si>
  <si>
    <t>273</t>
  </si>
  <si>
    <t>Carrier</t>
  </si>
  <si>
    <t>Toll Priority - Merck</t>
  </si>
  <si>
    <t>RRDD</t>
  </si>
  <si>
    <t>2773</t>
  </si>
  <si>
    <t>Vendor Acct Number #</t>
  </si>
  <si>
    <t>Invoice #</t>
  </si>
  <si>
    <t>P20679525</t>
  </si>
  <si>
    <t>Currency</t>
  </si>
  <si>
    <t>AUD</t>
  </si>
  <si>
    <t>Supplier Number</t>
  </si>
  <si>
    <t>Invoice Date</t>
  </si>
  <si>
    <t xml:space="preserve">Payment Type </t>
  </si>
  <si>
    <t>LAUACH</t>
  </si>
  <si>
    <t>Remit ID / Vendor Site Code</t>
  </si>
  <si>
    <t>Amount Approved</t>
  </si>
  <si>
    <t xml:space="preserve">VOC Number </t>
  </si>
  <si>
    <t>Name</t>
  </si>
  <si>
    <t>Centre Code</t>
  </si>
  <si>
    <t>OPS Type</t>
  </si>
  <si>
    <t>Product/ Function Code</t>
  </si>
  <si>
    <t>Account
/Oracle Code</t>
  </si>
  <si>
    <t>Reference Number/ Client Code</t>
  </si>
  <si>
    <t>Shipment Number</t>
  </si>
  <si>
    <t>Cost Excl GST</t>
  </si>
  <si>
    <t>GST</t>
  </si>
  <si>
    <t>Total</t>
  </si>
  <si>
    <t>ORGCAT2</t>
  </si>
  <si>
    <t>300493</t>
  </si>
  <si>
    <t>L03</t>
  </si>
  <si>
    <t>ORGGCC</t>
  </si>
  <si>
    <t>ORGS</t>
  </si>
  <si>
    <t>Approved</t>
  </si>
  <si>
    <t>Munoz Gemma</t>
  </si>
  <si>
    <t>Date</t>
  </si>
  <si>
    <t>System Approved Totals</t>
  </si>
  <si>
    <t>Freight</t>
  </si>
  <si>
    <t>Sundry</t>
  </si>
  <si>
    <t>Invoiced Amount</t>
  </si>
  <si>
    <t>Credit Requested</t>
  </si>
  <si>
    <t>20122R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</si>
</sst>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dd\/mm\/yyyy"/>
    <numFmt numFmtId="177" formatCode="[$$-C09]#,##0.00"/>
    <numFmt numFmtId="178" formatCode="dd\-mmmm\-yyyy"/>
    <numFmt numFmtId="179" formatCode="[$$-C09]#,##0.00;[$$-C09]\-#,##0.00"/>
  </numFmts>
  <fonts count="6" x14ac:knownFonts="1">
    <font>
      <sz val="10"/>
      <color indexed="8"/>
      <name val="ARIAL"/>
      <charset val="1"/>
    </font>
    <font>
      <sz val="9"/>
      <name val="細明體"/>
      <family val="3"/>
      <charset val="136"/>
    </font>
    <font>
      <sz val="10"/>
      <color indexed="8"/>
      <name val="Arial"/>
      <family val="2"/>
    </font>
    <font>
      <sz val="9"/>
      <color indexed="8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>
      <alignment vertical="top"/>
    </xf>
  </cellStyleXfs>
  <cellXfs count="17">
    <xf numFmtId="0" fontId="0" fillId="0" borderId="0" xfId="0">
      <alignment vertical="top"/>
    </xf>
    <xf numFmtId="0" fontId="2" fillId="0" borderId="0" xfId="0" applyFont="1" applyAlignment="1">
      <alignment horizontal="left" vertical="top" wrapText="1" readingOrder="1"/>
    </xf>
    <xf numFmtId="0" fontId="2" fillId="0" borderId="0" xfId="0" applyFont="1" applyAlignment="1">
      <alignment horizontal="right" vertical="top" wrapText="1" readingOrder="1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left" vertical="top"/>
    </xf>
    <xf numFmtId="176" fontId="2" fillId="0" borderId="1" xfId="0" applyNumberFormat="1" applyFont="1" applyBorder="1" applyAlignment="1">
      <alignment horizontal="left" vertical="top"/>
    </xf>
    <xf numFmtId="0" fontId="3" fillId="0" borderId="0" xfId="0" applyFont="1" applyAlignment="1">
      <alignment horizontal="left" vertical="top" wrapText="1" readingOrder="1"/>
    </xf>
    <xf numFmtId="177" fontId="2" fillId="0" borderId="1" xfId="0" applyNumberFormat="1" applyFont="1" applyBorder="1" applyAlignment="1">
      <alignment horizontal="left" vertical="top"/>
    </xf>
    <xf numFmtId="0" fontId="4" fillId="0" borderId="0" xfId="0" applyFont="1" applyAlignment="1">
      <alignment horizontal="left" vertical="top" wrapText="1" readingOrder="1"/>
    </xf>
    <xf numFmtId="0" fontId="4" fillId="0" borderId="0" xfId="0" applyFont="1" applyAlignment="1">
      <alignment horizontal="right" vertical="top" wrapText="1" readingOrder="1"/>
    </xf>
    <xf numFmtId="0" fontId="2" fillId="0" borderId="0" xfId="0" applyFont="1" applyAlignment="1">
      <alignment horizontal="left" vertical="top"/>
    </xf>
    <xf numFmtId="177" fontId="2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left" vertical="top" wrapText="1" readingOrder="1"/>
    </xf>
    <xf numFmtId="0" fontId="5" fillId="0" borderId="0" xfId="0" applyFont="1" applyAlignment="1">
      <alignment horizontal="right" vertical="top" wrapText="1" readingOrder="1"/>
    </xf>
    <xf numFmtId="178" fontId="2" fillId="0" borderId="0" xfId="0" applyNumberFormat="1" applyFont="1" applyAlignment="1">
      <alignment horizontal="left" vertical="top"/>
    </xf>
    <xf numFmtId="179" fontId="2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41</xdr:col>
      <xdr:colOff>0</xdr:colOff>
      <xdr:row>0</xdr:row>
      <xdr:rowOff>0</xdr:rowOff>
    </xdr:from>
    <xdr:to>
      <xdr:col>42</xdr:col>
      <xdr:colOff>0</xdr:colOff>
      <xdr:row>2</xdr:row>
      <xdr:rowOff>292100</xdr:rowOff>
    </xdr:to>
    <xdr:pic>
      <xdr:nvPicPr>
        <xdr:cNvPr id="2" name="Picture 1025">
          <a:extLst>
            <a:ext uri="{FF2B5EF4-FFF2-40B4-BE49-F238E27FC236}">
              <a16:creationId xmlns:a16="http://schemas.microsoft.com/office/drawing/2014/main" id="{6EBA1D32-EA37-4066-A969-0EC5A904D3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3875" y="0"/>
          <a:ext cx="466725" cy="539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LG%20Vendor%20Inf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pping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ipment%20Regist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pping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b2022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A10C6-39D7-4DD8-B428-20AA688AF160}">
  <sheetPr codeName="Sheet1">
    <outlinePr summaryBelow="0"/>
    <pageSetUpPr autoPageBreaks="0"/>
  </sheetPr>
  <dimension ref="A1:AR46"/>
  <sheetViews>
    <sheetView showGridLines="0" tabSelected="1" workbookViewId="0">
      <selection activeCell="T8" sqref="T8"/>
    </sheetView>
  </sheetViews>
  <sheetFormatPr defaultRowHeight="12.75" customHeight="1" x14ac:dyDescent="0.2"/>
  <cols>
    <col min="1" max="1" width="1.140625" customWidth="1"/>
    <col min="2" max="2" width="6" customWidth="1"/>
    <col min="3" max="3" width="4.28515625" customWidth="1"/>
    <col min="4" max="6" width="1.140625" customWidth="1"/>
    <col min="7" max="7" width="6.85546875" customWidth="1"/>
    <col min="8" max="8" width="1.140625" customWidth="1"/>
    <col min="9" max="9" width="2.28515625" customWidth="1"/>
    <col min="10" max="11" width="1.140625" customWidth="1"/>
    <col min="12" max="12" width="2.28515625" customWidth="1"/>
    <col min="13" max="13" width="1.140625" customWidth="1"/>
    <col min="14" max="14" width="5.7109375" customWidth="1"/>
    <col min="15" max="15" width="4.5703125" customWidth="1"/>
    <col min="16" max="16" width="1.140625" customWidth="1"/>
    <col min="17" max="17" width="2.28515625" customWidth="1"/>
    <col min="18" max="18" width="3.140625" customWidth="1"/>
    <col min="19" max="20" width="1.42578125" customWidth="1"/>
    <col min="21" max="21" width="3.140625" customWidth="1"/>
    <col min="22" max="22" width="5.140625" customWidth="1"/>
    <col min="23" max="23" width="1.7109375" customWidth="1"/>
    <col min="24" max="25" width="3.42578125" customWidth="1"/>
    <col min="26" max="26" width="1.140625" customWidth="1"/>
    <col min="27" max="27" width="2" customWidth="1"/>
    <col min="28" max="28" width="2.5703125" customWidth="1"/>
    <col min="29" max="29" width="1.140625" customWidth="1"/>
    <col min="30" max="30" width="6.85546875" customWidth="1"/>
    <col min="31" max="31" width="11.140625" customWidth="1"/>
    <col min="32" max="32" width="2.5703125" customWidth="1"/>
    <col min="33" max="33" width="1.140625" customWidth="1"/>
    <col min="34" max="34" width="9" customWidth="1"/>
    <col min="35" max="35" width="2.42578125" customWidth="1"/>
    <col min="36" max="36" width="1.140625" customWidth="1"/>
    <col min="37" max="37" width="5.42578125" customWidth="1"/>
    <col min="38" max="38" width="1.42578125" customWidth="1"/>
    <col min="39" max="39" width="2.140625" customWidth="1"/>
    <col min="40" max="40" width="1" customWidth="1"/>
    <col min="41" max="41" width="3.5703125" customWidth="1"/>
    <col min="42" max="42" width="7" customWidth="1"/>
    <col min="43" max="43" width="2.140625" customWidth="1"/>
    <col min="44" max="44" width="1" customWidth="1"/>
    <col min="45" max="256" width="6.85546875" customWidth="1"/>
  </cols>
  <sheetData>
    <row r="1" spans="1:43" ht="6.75" customHeight="1" x14ac:dyDescent="0.2"/>
    <row r="2" spans="1:43" x14ac:dyDescent="0.2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43" ht="27.75" customHeight="1" x14ac:dyDescent="0.2"/>
    <row r="4" spans="1:43" ht="0.75" customHeight="1" x14ac:dyDescent="0.2">
      <c r="A4" s="1" t="s">
        <v>1</v>
      </c>
      <c r="B4" s="1"/>
      <c r="C4" s="1"/>
      <c r="F4" s="1" t="s">
        <v>2</v>
      </c>
      <c r="G4" s="1"/>
      <c r="H4" s="1"/>
      <c r="I4" s="1"/>
      <c r="M4" s="2" t="s">
        <v>3</v>
      </c>
      <c r="N4" s="2"/>
      <c r="O4" s="2"/>
      <c r="P4" s="2"/>
      <c r="Q4" s="2"/>
      <c r="R4" s="2"/>
      <c r="T4" s="5" t="s">
        <v>4</v>
      </c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</row>
    <row r="5" spans="1:43" ht="12" customHeight="1" x14ac:dyDescent="0.2">
      <c r="A5" s="1"/>
      <c r="B5" s="1"/>
      <c r="C5" s="1"/>
      <c r="F5" s="1"/>
      <c r="G5" s="1"/>
      <c r="H5" s="1"/>
      <c r="I5" s="1"/>
      <c r="M5" s="2"/>
      <c r="N5" s="2"/>
      <c r="O5" s="2"/>
      <c r="P5" s="2"/>
      <c r="Q5" s="2"/>
      <c r="R5" s="2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</row>
    <row r="6" spans="1:43" ht="6.75" customHeight="1" x14ac:dyDescent="0.2"/>
    <row r="7" spans="1:43" ht="13.5" customHeight="1" x14ac:dyDescent="0.2">
      <c r="A7" s="1" t="s">
        <v>5</v>
      </c>
      <c r="B7" s="1"/>
      <c r="C7" s="1"/>
      <c r="F7" s="1" t="s">
        <v>6</v>
      </c>
      <c r="G7" s="1"/>
      <c r="H7" s="1"/>
      <c r="I7" s="1"/>
      <c r="L7" s="2" t="s">
        <v>7</v>
      </c>
      <c r="M7" s="2"/>
      <c r="N7" s="2"/>
      <c r="O7" s="2"/>
      <c r="P7" s="2"/>
      <c r="Q7" s="2"/>
      <c r="R7" s="2"/>
      <c r="T7" s="3" t="s">
        <v>42</v>
      </c>
      <c r="U7" s="4"/>
      <c r="V7" s="4"/>
      <c r="W7" s="4"/>
      <c r="X7" s="4"/>
      <c r="Y7" s="4"/>
      <c r="Z7" s="4"/>
      <c r="AA7" s="4"/>
      <c r="AB7" s="4"/>
    </row>
    <row r="8" spans="1:43" ht="6.75" customHeight="1" x14ac:dyDescent="0.2">
      <c r="AH8" s="2" t="s">
        <v>8</v>
      </c>
      <c r="AI8" s="2"/>
      <c r="AJ8" s="2"/>
      <c r="AK8" s="2"/>
      <c r="AM8" s="5" t="s">
        <v>9</v>
      </c>
      <c r="AN8" s="5"/>
      <c r="AO8" s="5"/>
      <c r="AP8" s="5"/>
      <c r="AQ8" s="5"/>
    </row>
    <row r="9" spans="1:43" ht="6" customHeight="1" x14ac:dyDescent="0.2">
      <c r="A9" s="1" t="s">
        <v>10</v>
      </c>
      <c r="B9" s="1"/>
      <c r="C9" s="1"/>
      <c r="F9" s="1" t="s">
        <v>11</v>
      </c>
      <c r="G9" s="1"/>
      <c r="H9" s="1"/>
      <c r="I9" s="1"/>
      <c r="M9" s="2" t="s">
        <v>12</v>
      </c>
      <c r="N9" s="2"/>
      <c r="O9" s="2"/>
      <c r="P9" s="2"/>
      <c r="Q9" s="2"/>
      <c r="R9" s="2"/>
      <c r="T9" s="4" t="e">
        <f>INDEX([1]JAS!$A:$A,MATCH(T7,[1]JAS!$C:$C,))</f>
        <v>#N/A</v>
      </c>
      <c r="U9" s="4"/>
      <c r="V9" s="4"/>
      <c r="W9" s="4"/>
      <c r="X9" s="4"/>
      <c r="Y9" s="4"/>
      <c r="Z9" s="4"/>
      <c r="AA9" s="4"/>
      <c r="AB9" s="4"/>
      <c r="AH9" s="2"/>
      <c r="AI9" s="2"/>
      <c r="AJ9" s="2"/>
      <c r="AK9" s="2"/>
      <c r="AM9" s="5"/>
      <c r="AN9" s="5"/>
      <c r="AO9" s="5"/>
      <c r="AP9" s="5"/>
      <c r="AQ9" s="5"/>
    </row>
    <row r="10" spans="1:43" ht="7.5" customHeight="1" x14ac:dyDescent="0.2">
      <c r="A10" s="1"/>
      <c r="B10" s="1"/>
      <c r="C10" s="1"/>
      <c r="F10" s="1"/>
      <c r="G10" s="1"/>
      <c r="H10" s="1"/>
      <c r="I10" s="1"/>
      <c r="M10" s="2"/>
      <c r="N10" s="2"/>
      <c r="O10" s="2"/>
      <c r="P10" s="2"/>
      <c r="Q10" s="2"/>
      <c r="R10" s="2"/>
      <c r="T10" s="4"/>
      <c r="U10" s="4"/>
      <c r="V10" s="4"/>
      <c r="W10" s="4"/>
      <c r="X10" s="4"/>
      <c r="Y10" s="4"/>
      <c r="Z10" s="4"/>
      <c r="AA10" s="4"/>
      <c r="AB10" s="4"/>
    </row>
    <row r="11" spans="1:43" ht="6.75" customHeight="1" x14ac:dyDescent="0.2">
      <c r="AH11" s="2" t="s">
        <v>13</v>
      </c>
      <c r="AI11" s="2"/>
      <c r="AJ11" s="2"/>
      <c r="AK11" s="2"/>
      <c r="AM11" s="6">
        <v>44605</v>
      </c>
      <c r="AN11" s="6"/>
      <c r="AO11" s="6"/>
      <c r="AP11" s="6"/>
      <c r="AQ11" s="6"/>
    </row>
    <row r="12" spans="1:43" ht="6" customHeight="1" x14ac:dyDescent="0.2">
      <c r="A12" s="1" t="s">
        <v>14</v>
      </c>
      <c r="B12" s="1"/>
      <c r="C12" s="1"/>
      <c r="D12" s="1"/>
      <c r="F12" s="1" t="s">
        <v>15</v>
      </c>
      <c r="G12" s="1"/>
      <c r="H12" s="1"/>
      <c r="I12" s="1"/>
      <c r="K12" s="7" t="s">
        <v>16</v>
      </c>
      <c r="L12" s="7"/>
      <c r="M12" s="7"/>
      <c r="N12" s="7"/>
      <c r="O12" s="7"/>
      <c r="P12" s="7"/>
      <c r="Q12" s="7"/>
      <c r="R12" s="7"/>
      <c r="T12" s="4" t="e">
        <f>INDEX([1]JAS!$E:$E,MATCH(T7,[1]JAS!$C:$C,))</f>
        <v>#N/A</v>
      </c>
      <c r="U12" s="4"/>
      <c r="V12" s="4"/>
      <c r="W12" s="4"/>
      <c r="X12" s="4"/>
      <c r="Y12" s="4"/>
      <c r="Z12" s="4"/>
      <c r="AA12" s="4"/>
      <c r="AB12" s="4"/>
      <c r="AH12" s="2"/>
      <c r="AI12" s="2"/>
      <c r="AJ12" s="2"/>
      <c r="AK12" s="2"/>
      <c r="AM12" s="6"/>
      <c r="AN12" s="6"/>
      <c r="AO12" s="6"/>
      <c r="AP12" s="6"/>
      <c r="AQ12" s="6"/>
    </row>
    <row r="13" spans="1:43" ht="7.5" customHeight="1" x14ac:dyDescent="0.2">
      <c r="A13" s="1"/>
      <c r="B13" s="1"/>
      <c r="C13" s="1"/>
      <c r="D13" s="1"/>
      <c r="F13" s="1"/>
      <c r="G13" s="1"/>
      <c r="H13" s="1"/>
      <c r="I13" s="1"/>
      <c r="K13" s="7"/>
      <c r="L13" s="7"/>
      <c r="M13" s="7"/>
      <c r="N13" s="7"/>
      <c r="O13" s="7"/>
      <c r="P13" s="7"/>
      <c r="Q13" s="7"/>
      <c r="R13" s="7"/>
      <c r="T13" s="4"/>
      <c r="U13" s="4"/>
      <c r="V13" s="4"/>
      <c r="W13" s="4"/>
      <c r="X13" s="4"/>
      <c r="Y13" s="4"/>
      <c r="Z13" s="4"/>
      <c r="AA13" s="4"/>
      <c r="AB13" s="4"/>
    </row>
    <row r="14" spans="1:43" ht="6.75" customHeight="1" x14ac:dyDescent="0.2">
      <c r="AH14" s="2" t="s">
        <v>17</v>
      </c>
      <c r="AI14" s="2"/>
      <c r="AJ14" s="2"/>
      <c r="AK14" s="2"/>
      <c r="AM14" s="8">
        <v>6690.11</v>
      </c>
      <c r="AN14" s="8"/>
      <c r="AO14" s="8"/>
      <c r="AP14" s="8"/>
      <c r="AQ14" s="8"/>
    </row>
    <row r="15" spans="1:43" ht="6" customHeight="1" x14ac:dyDescent="0.2">
      <c r="M15" s="2" t="s">
        <v>18</v>
      </c>
      <c r="N15" s="2"/>
      <c r="O15" s="2"/>
      <c r="P15" s="2"/>
      <c r="Q15" s="2"/>
      <c r="R15" s="2"/>
      <c r="T15" s="4" t="e">
        <f>INDEX([1]JAS!$F:$F,MATCH(T7,[1]JAS!$C:$C,))</f>
        <v>#N/A</v>
      </c>
      <c r="U15" s="4"/>
      <c r="V15" s="4"/>
      <c r="W15" s="4"/>
      <c r="X15" s="4"/>
      <c r="Y15" s="4"/>
      <c r="Z15" s="4"/>
      <c r="AA15" s="4"/>
      <c r="AB15" s="4"/>
      <c r="AH15" s="2"/>
      <c r="AI15" s="2"/>
      <c r="AJ15" s="2"/>
      <c r="AK15" s="2"/>
      <c r="AM15" s="8"/>
      <c r="AN15" s="8"/>
      <c r="AO15" s="8"/>
      <c r="AP15" s="8"/>
      <c r="AQ15" s="8"/>
    </row>
    <row r="16" spans="1:43" ht="6.75" customHeight="1" x14ac:dyDescent="0.2">
      <c r="M16" s="2"/>
      <c r="N16" s="2"/>
      <c r="O16" s="2"/>
      <c r="P16" s="2"/>
      <c r="Q16" s="2"/>
      <c r="R16" s="2"/>
      <c r="T16" s="4"/>
      <c r="U16" s="4"/>
      <c r="V16" s="4"/>
      <c r="W16" s="4"/>
      <c r="X16" s="4"/>
      <c r="Y16" s="4"/>
      <c r="Z16" s="4"/>
      <c r="AA16" s="4"/>
      <c r="AB16" s="4"/>
    </row>
    <row r="17" spans="1:44" ht="6" customHeight="1" x14ac:dyDescent="0.2"/>
    <row r="18" spans="1:44" ht="6" customHeight="1" x14ac:dyDescent="0.2"/>
    <row r="19" spans="1:44" ht="6.75" customHeight="1" x14ac:dyDescent="0.2">
      <c r="A19" s="9" t="s">
        <v>19</v>
      </c>
      <c r="B19" s="9"/>
      <c r="C19" s="9"/>
      <c r="D19" s="9"/>
      <c r="E19" s="9"/>
      <c r="F19" s="9" t="s">
        <v>20</v>
      </c>
      <c r="G19" s="9"/>
      <c r="H19" s="9"/>
      <c r="I19" s="9" t="s">
        <v>21</v>
      </c>
      <c r="J19" s="9"/>
      <c r="K19" s="9"/>
      <c r="L19" s="9"/>
      <c r="N19" s="9" t="s">
        <v>22</v>
      </c>
      <c r="O19" s="9"/>
      <c r="P19" s="9"/>
      <c r="R19" s="9" t="s">
        <v>23</v>
      </c>
      <c r="S19" s="9"/>
      <c r="T19" s="9"/>
      <c r="U19" s="9"/>
      <c r="V19" s="9"/>
      <c r="W19" s="9" t="s">
        <v>24</v>
      </c>
      <c r="X19" s="9"/>
      <c r="Y19" s="9"/>
      <c r="Z19" s="9"/>
      <c r="AA19" s="9"/>
      <c r="AB19" s="9"/>
      <c r="AC19" s="9"/>
      <c r="AD19" s="9"/>
      <c r="AE19" s="9" t="s">
        <v>25</v>
      </c>
      <c r="AG19" s="10" t="s">
        <v>26</v>
      </c>
      <c r="AH19" s="10"/>
    </row>
    <row r="20" spans="1:44" ht="15.75" x14ac:dyDescent="0.2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N20" s="9"/>
      <c r="O20" s="9"/>
      <c r="P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G20" s="10"/>
      <c r="AH20" s="10"/>
      <c r="AK20" s="10" t="s">
        <v>27</v>
      </c>
      <c r="AL20" s="10"/>
      <c r="AM20" s="10"/>
      <c r="AP20" s="10" t="s">
        <v>28</v>
      </c>
      <c r="AQ20" s="10"/>
      <c r="AR20" s="10"/>
    </row>
    <row r="21" spans="1:44" ht="14.25" customHeight="1" x14ac:dyDescent="0.2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N21" s="9"/>
      <c r="O21" s="9"/>
      <c r="P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G21" s="10"/>
      <c r="AH21" s="10"/>
    </row>
    <row r="22" spans="1:44" ht="13.5" customHeight="1" x14ac:dyDescent="0.2">
      <c r="N22" s="9"/>
      <c r="O22" s="9"/>
      <c r="P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G22" s="10"/>
      <c r="AH22" s="10"/>
    </row>
    <row r="23" spans="1:44" ht="8.25" customHeight="1" x14ac:dyDescent="0.2"/>
    <row r="24" spans="1:44" x14ac:dyDescent="0.2">
      <c r="A24" s="11" t="s">
        <v>29</v>
      </c>
      <c r="B24" s="11"/>
      <c r="C24" s="11"/>
      <c r="D24" s="11"/>
      <c r="E24" s="11"/>
      <c r="F24" s="11"/>
      <c r="G24" s="11" t="s">
        <v>30</v>
      </c>
      <c r="H24" s="11"/>
      <c r="I24" s="11"/>
      <c r="J24" s="11" t="s">
        <v>31</v>
      </c>
      <c r="K24" s="11"/>
      <c r="L24" s="11"/>
      <c r="M24" s="11"/>
      <c r="N24" s="11"/>
      <c r="O24" t="e">
        <f>INDEX([2]Mapping!$D:$D,MATCH((A24),[2]Mapping!$A:$A,0))</f>
        <v>#N/A</v>
      </c>
      <c r="R24" s="11">
        <v>758199</v>
      </c>
      <c r="S24" s="11"/>
      <c r="T24" s="11"/>
      <c r="U24" s="11"/>
      <c r="X24" t="e">
        <f>INDEX([2]Mapping!$C:$C,MATCH((A24),[2]Mapping!$A:$A,0))</f>
        <v>#N/A</v>
      </c>
      <c r="AE24" t="e">
        <f>INDEX([3]Feb2022!$V:$V,MATCH(A24,[3]Feb2022!$U:$U,))</f>
        <v>#N/A</v>
      </c>
      <c r="AG24" s="12">
        <v>4440.78</v>
      </c>
      <c r="AH24" s="12"/>
      <c r="AK24" s="12">
        <v>444.07800000000003</v>
      </c>
      <c r="AL24" s="12"/>
      <c r="AM24" s="12"/>
      <c r="AP24" s="12">
        <v>4884.8580000000002</v>
      </c>
      <c r="AQ24" s="12"/>
      <c r="AR24" s="12"/>
    </row>
    <row r="25" spans="1:44" ht="12" customHeight="1" x14ac:dyDescent="0.2"/>
    <row r="26" spans="1:44" x14ac:dyDescent="0.2">
      <c r="A26" s="11" t="s">
        <v>32</v>
      </c>
      <c r="B26" s="11"/>
      <c r="C26" s="11"/>
      <c r="D26" s="11"/>
      <c r="E26" s="11"/>
      <c r="F26" s="11"/>
      <c r="G26" s="11" t="s">
        <v>30</v>
      </c>
      <c r="H26" s="11"/>
      <c r="I26" s="11"/>
      <c r="J26" s="11" t="s">
        <v>31</v>
      </c>
      <c r="K26" s="11"/>
      <c r="L26" s="11"/>
      <c r="M26" s="11"/>
      <c r="N26" s="11"/>
      <c r="O26" t="e">
        <f>INDEX([2]Mapping!$D:$D,MATCH((A26),[2]Mapping!$A:$A,0))</f>
        <v>#N/A</v>
      </c>
      <c r="R26" s="11">
        <v>758199</v>
      </c>
      <c r="S26" s="11"/>
      <c r="T26" s="11"/>
      <c r="U26" s="11"/>
      <c r="X26" t="e">
        <f>INDEX([2]Mapping!$C:$C,MATCH((A26),[2]Mapping!$A:$A,0))</f>
        <v>#N/A</v>
      </c>
      <c r="AE26" t="e">
        <f>INDEX([3]Feb2022!$V:$V,MATCH(A26,[3]Feb2022!$U:$U,))</f>
        <v>#N/A</v>
      </c>
      <c r="AG26" s="12">
        <v>949.89</v>
      </c>
      <c r="AH26" s="12"/>
      <c r="AK26" s="12">
        <v>94.98899999999999</v>
      </c>
      <c r="AL26" s="12"/>
      <c r="AM26" s="12"/>
      <c r="AP26" s="12">
        <v>1044.8789999999999</v>
      </c>
      <c r="AQ26" s="12"/>
      <c r="AR26" s="12"/>
    </row>
    <row r="27" spans="1:44" ht="12" customHeight="1" x14ac:dyDescent="0.2"/>
    <row r="28" spans="1:44" x14ac:dyDescent="0.2">
      <c r="A28" s="11" t="s">
        <v>33</v>
      </c>
      <c r="B28" s="11"/>
      <c r="C28" s="11"/>
      <c r="D28" s="11"/>
      <c r="E28" s="11"/>
      <c r="F28" s="11"/>
      <c r="G28" s="11" t="s">
        <v>30</v>
      </c>
      <c r="H28" s="11"/>
      <c r="I28" s="11"/>
      <c r="J28" s="11" t="s">
        <v>31</v>
      </c>
      <c r="K28" s="11"/>
      <c r="L28" s="11"/>
      <c r="M28" s="11"/>
      <c r="N28" s="11"/>
      <c r="O28" t="e">
        <f>INDEX([2]Mapping!$D:$D,MATCH((A28),[2]Mapping!$A:$A,0))</f>
        <v>#N/A</v>
      </c>
      <c r="R28" s="11">
        <v>758199</v>
      </c>
      <c r="S28" s="11"/>
      <c r="T28" s="11"/>
      <c r="U28" s="11"/>
      <c r="X28" t="e">
        <f>INDEX([2]Mapping!$C:$C,MATCH((A28),[2]Mapping!$A:$A,0))</f>
        <v>#N/A</v>
      </c>
      <c r="AE28" t="e">
        <f>INDEX([3]Feb2022!$V:$V,MATCH(A28,[3]Feb2022!$U:$U,))</f>
        <v>#N/A</v>
      </c>
      <c r="AG28" s="12">
        <v>691.25</v>
      </c>
      <c r="AH28" s="12"/>
      <c r="AK28" s="12">
        <v>69.125</v>
      </c>
      <c r="AL28" s="12"/>
      <c r="AM28" s="12"/>
      <c r="AP28" s="12">
        <v>760.375</v>
      </c>
      <c r="AQ28" s="12"/>
      <c r="AR28" s="12"/>
    </row>
    <row r="29" spans="1:44" ht="12" customHeight="1" x14ac:dyDescent="0.2"/>
    <row r="30" spans="1:44" ht="9" customHeight="1" x14ac:dyDescent="0.2"/>
    <row r="31" spans="1:44" x14ac:dyDescent="0.2">
      <c r="P31" s="13" t="s">
        <v>28</v>
      </c>
      <c r="Q31" s="13"/>
      <c r="R31" s="13"/>
      <c r="S31" s="13"/>
      <c r="T31" s="13"/>
      <c r="U31" s="13"/>
      <c r="AG31" s="12">
        <v>6081.92</v>
      </c>
      <c r="AH31" s="12"/>
      <c r="AK31" s="12">
        <v>608.19200000000001</v>
      </c>
      <c r="AL31" s="12"/>
      <c r="AM31" s="12"/>
      <c r="AP31" s="12">
        <v>6690.1119999999992</v>
      </c>
      <c r="AQ31" s="12"/>
      <c r="AR31" s="12"/>
    </row>
    <row r="32" spans="1:44" ht="15.75" customHeight="1" x14ac:dyDescent="0.2"/>
    <row r="33" spans="3:44" x14ac:dyDescent="0.2">
      <c r="C33" s="14" t="s">
        <v>34</v>
      </c>
      <c r="D33" s="14"/>
      <c r="E33" s="14"/>
      <c r="F33" s="14"/>
      <c r="G33" s="14"/>
      <c r="H33" s="14"/>
      <c r="I33" s="14"/>
      <c r="K33" s="11" t="s">
        <v>35</v>
      </c>
      <c r="L33" s="11"/>
      <c r="M33" s="11"/>
      <c r="N33" s="11"/>
      <c r="O33" s="11"/>
      <c r="P33" s="11"/>
      <c r="Q33" s="11"/>
      <c r="R33" s="11"/>
      <c r="S33" s="11"/>
      <c r="T33" s="11"/>
      <c r="Y33" s="14" t="s">
        <v>36</v>
      </c>
      <c r="Z33" s="14"/>
      <c r="AA33" s="14"/>
      <c r="AC33" s="15">
        <v>44609</v>
      </c>
      <c r="AD33" s="15"/>
      <c r="AE33" s="15"/>
      <c r="AF33" s="15"/>
    </row>
    <row r="35" spans="3:44" x14ac:dyDescent="0.2">
      <c r="Z35" s="14" t="s">
        <v>37</v>
      </c>
      <c r="AA35" s="14"/>
      <c r="AB35" s="14"/>
      <c r="AC35" s="14"/>
      <c r="AD35" s="14"/>
      <c r="AE35" s="14"/>
      <c r="AK35" s="12">
        <v>608.19000000000005</v>
      </c>
      <c r="AL35" s="12"/>
      <c r="AM35" s="12"/>
      <c r="AN35" s="12"/>
      <c r="AP35" s="12">
        <v>6690.11</v>
      </c>
      <c r="AQ35" s="12"/>
      <c r="AR35" s="12"/>
    </row>
    <row r="36" spans="3:44" ht="6.75" customHeight="1" x14ac:dyDescent="0.2"/>
    <row r="37" spans="3:44" x14ac:dyDescent="0.2">
      <c r="AD37" s="14" t="s">
        <v>38</v>
      </c>
      <c r="AE37" s="14"/>
      <c r="AK37" s="12">
        <v>608.19000000000005</v>
      </c>
      <c r="AL37" s="12"/>
      <c r="AM37" s="12"/>
      <c r="AN37" s="12"/>
      <c r="AP37" s="12">
        <v>6690.11</v>
      </c>
      <c r="AQ37" s="12"/>
      <c r="AR37" s="12"/>
    </row>
    <row r="38" spans="3:44" ht="6.75" customHeight="1" x14ac:dyDescent="0.2"/>
    <row r="39" spans="3:44" x14ac:dyDescent="0.2">
      <c r="AD39" s="14" t="s">
        <v>39</v>
      </c>
      <c r="AE39" s="14"/>
      <c r="AK39" s="16">
        <v>0</v>
      </c>
      <c r="AL39" s="16"/>
      <c r="AM39" s="16"/>
      <c r="AN39" s="16"/>
      <c r="AP39" s="12">
        <v>0</v>
      </c>
      <c r="AQ39" s="12"/>
      <c r="AR39" s="12"/>
    </row>
    <row r="40" spans="3:44" ht="6.75" customHeight="1" x14ac:dyDescent="0.2"/>
    <row r="41" spans="3:44" x14ac:dyDescent="0.2">
      <c r="Z41" s="14" t="s">
        <v>40</v>
      </c>
      <c r="AA41" s="14"/>
      <c r="AB41" s="14"/>
      <c r="AC41" s="14"/>
      <c r="AD41" s="14"/>
      <c r="AE41" s="14"/>
      <c r="AK41" s="12">
        <v>836.29</v>
      </c>
      <c r="AL41" s="12"/>
      <c r="AM41" s="12"/>
      <c r="AN41" s="12"/>
      <c r="AP41" s="12">
        <v>9199.19</v>
      </c>
      <c r="AQ41" s="12"/>
      <c r="AR41" s="12"/>
    </row>
    <row r="42" spans="3:44" ht="6.75" customHeight="1" x14ac:dyDescent="0.2"/>
    <row r="43" spans="3:44" x14ac:dyDescent="0.2">
      <c r="Z43" s="14" t="s">
        <v>41</v>
      </c>
      <c r="AA43" s="14"/>
      <c r="AB43" s="14"/>
      <c r="AC43" s="14"/>
      <c r="AD43" s="14"/>
      <c r="AE43" s="14"/>
      <c r="AP43" s="12">
        <v>2509.08</v>
      </c>
      <c r="AQ43" s="12"/>
      <c r="AR43" s="12"/>
    </row>
    <row r="44" spans="3:44" ht="10.5" customHeight="1" x14ac:dyDescent="0.2"/>
    <row r="45" spans="3:44" ht="132.75" customHeight="1" x14ac:dyDescent="0.2"/>
    <row r="46" spans="3:44" ht="30" customHeight="1" x14ac:dyDescent="0.2"/>
  </sheetData>
  <mergeCells count="78">
    <mergeCell ref="Z43:AE43"/>
    <mergeCell ref="AP43:AR43"/>
    <mergeCell ref="AD39:AE39"/>
    <mergeCell ref="AK39:AN39"/>
    <mergeCell ref="AP39:AR39"/>
    <mergeCell ref="Z41:AE41"/>
    <mergeCell ref="AK41:AN41"/>
    <mergeCell ref="AP41:AR41"/>
    <mergeCell ref="Z35:AE35"/>
    <mergeCell ref="AK35:AN35"/>
    <mergeCell ref="AP35:AR35"/>
    <mergeCell ref="AD37:AE37"/>
    <mergeCell ref="AK37:AN37"/>
    <mergeCell ref="AP37:AR37"/>
    <mergeCell ref="P31:U31"/>
    <mergeCell ref="AG31:AH31"/>
    <mergeCell ref="AK31:AM31"/>
    <mergeCell ref="AP31:AR31"/>
    <mergeCell ref="C33:I33"/>
    <mergeCell ref="K33:T33"/>
    <mergeCell ref="Y33:AA33"/>
    <mergeCell ref="AC33:AF33"/>
    <mergeCell ref="AK24:AM24"/>
    <mergeCell ref="AP24:AR24"/>
    <mergeCell ref="AP26:AR26"/>
    <mergeCell ref="A28:F28"/>
    <mergeCell ref="G28:I28"/>
    <mergeCell ref="J28:N28"/>
    <mergeCell ref="R28:U28"/>
    <mergeCell ref="AG28:AH28"/>
    <mergeCell ref="AK28:AM28"/>
    <mergeCell ref="AP28:AR28"/>
    <mergeCell ref="A26:F26"/>
    <mergeCell ref="G26:I26"/>
    <mergeCell ref="J26:N26"/>
    <mergeCell ref="R26:U26"/>
    <mergeCell ref="AG26:AH26"/>
    <mergeCell ref="AK26:AM26"/>
    <mergeCell ref="A24:F24"/>
    <mergeCell ref="G24:I24"/>
    <mergeCell ref="J24:N24"/>
    <mergeCell ref="R24:U24"/>
    <mergeCell ref="AG24:AH24"/>
    <mergeCell ref="AH14:AK15"/>
    <mergeCell ref="AM14:AQ15"/>
    <mergeCell ref="M15:R16"/>
    <mergeCell ref="A19:E21"/>
    <mergeCell ref="F19:H21"/>
    <mergeCell ref="I19:L21"/>
    <mergeCell ref="N19:P22"/>
    <mergeCell ref="R19:V22"/>
    <mergeCell ref="W19:AD22"/>
    <mergeCell ref="AE19:AE21"/>
    <mergeCell ref="T15:AB16"/>
    <mergeCell ref="AG19:AH22"/>
    <mergeCell ref="AK20:AM20"/>
    <mergeCell ref="AP20:AR20"/>
    <mergeCell ref="AH8:AK9"/>
    <mergeCell ref="AM8:AQ9"/>
    <mergeCell ref="A9:C10"/>
    <mergeCell ref="F9:I10"/>
    <mergeCell ref="M9:R10"/>
    <mergeCell ref="AH11:AK12"/>
    <mergeCell ref="AM11:AQ12"/>
    <mergeCell ref="A12:D13"/>
    <mergeCell ref="F12:I13"/>
    <mergeCell ref="K12:R13"/>
    <mergeCell ref="T12:AB13"/>
    <mergeCell ref="B2:N2"/>
    <mergeCell ref="A4:C5"/>
    <mergeCell ref="F4:I5"/>
    <mergeCell ref="M4:R5"/>
    <mergeCell ref="T4:AI5"/>
    <mergeCell ref="A7:C7"/>
    <mergeCell ref="F7:I7"/>
    <mergeCell ref="L7:R7"/>
    <mergeCell ref="T7:AB7"/>
    <mergeCell ref="T9:AB10"/>
  </mergeCells>
  <phoneticPr fontId="1" type="noConversion"/>
  <pageMargins left="0.16597222222222222" right="0.16597222222222222" top="0.16597222222222222" bottom="0.16597222222222222" header="0" footer="0"/>
  <pageSetup paperSize="9" fitToWidth="0" fitToHeight="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TP</vt:lpstr>
    </vt:vector>
  </TitlesOfParts>
  <Company>United Parcel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 Ryan (XTB3NYJ)</dc:creator>
  <cp:lastModifiedBy>Chi Ryan (XTB3NYJ)</cp:lastModifiedBy>
  <dcterms:created xsi:type="dcterms:W3CDTF">2022-03-25T07:13:53Z</dcterms:created>
  <dcterms:modified xsi:type="dcterms:W3CDTF">2022-04-27T10:20:38Z</dcterms:modified>
</cp:coreProperties>
</file>