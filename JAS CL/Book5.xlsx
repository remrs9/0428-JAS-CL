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XTB3NYJ\Desktop\JAS CL\"/>
    </mc:Choice>
  </mc:AlternateContent>
  <xr:revisionPtr revIDLastSave="0" documentId="13_ncr:1_{8B638923-B774-4000-ACB1-CC6FEB23C446}" xr6:coauthVersionLast="47" xr6:coauthVersionMax="47" xr10:uidLastSave="{00000000-0000-0000-0000-000000000000}"/>
  <bookViews>
    <workbookView xWindow="2340" yWindow="1395" windowWidth="14430" windowHeight="12105" xr2:uid="{93EB8E2D-2CAD-43DA-ACFA-646A33964671}"/>
  </bookViews>
  <sheets>
    <sheet name="TE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8" i="1" l="1"/>
  <c r="AE36" i="1"/>
  <c r="X36" i="1"/>
  <c r="O36" i="1"/>
  <c r="AE34" i="1"/>
  <c r="AE32" i="1"/>
  <c r="AE30" i="1"/>
  <c r="AE28" i="1"/>
  <c r="AE26" i="1"/>
  <c r="X26" i="1"/>
  <c r="O26" i="1"/>
  <c r="AE24" i="1"/>
</calcChain>
</file>

<file path=xl/sharedStrings.xml><?xml version="1.0" encoding="utf-8"?>
<sst xmlns="http://schemas.openxmlformats.org/spreadsheetml/2006/main" count="78" uniqueCount="57">
  <si>
    <t>Credit Requested</t>
  </si>
  <si>
    <t>Invoiced Amount</t>
  </si>
  <si>
    <t>Sundry</t>
  </si>
  <si>
    <t>Freight</t>
  </si>
  <si>
    <t>System Approved Totals</t>
  </si>
  <si>
    <t>Date</t>
  </si>
  <si>
    <t>Munoz Gemma</t>
  </si>
  <si>
    <t>Approved</t>
  </si>
  <si>
    <t>Total</t>
  </si>
  <si>
    <t>AP00528</t>
  </si>
  <si>
    <t>P01</t>
  </si>
  <si>
    <t>L03</t>
  </si>
  <si>
    <t>436672</t>
  </si>
  <si>
    <t>VIA3</t>
  </si>
  <si>
    <t>300493</t>
  </si>
  <si>
    <t>SINOS</t>
  </si>
  <si>
    <t>AP00527</t>
  </si>
  <si>
    <t>D01</t>
  </si>
  <si>
    <t>OPCOFG</t>
  </si>
  <si>
    <t>AP00486</t>
  </si>
  <si>
    <t>MSDTS</t>
  </si>
  <si>
    <t>MSDCAT2</t>
  </si>
  <si>
    <t>GUERS</t>
  </si>
  <si>
    <t>AP00631</t>
  </si>
  <si>
    <t>ASP</t>
  </si>
  <si>
    <t>GST</t>
  </si>
  <si>
    <t>Cost Excl GST</t>
  </si>
  <si>
    <t>Shipment Number</t>
  </si>
  <si>
    <t>Reference Number/ Client Code</t>
  </si>
  <si>
    <t>Account
/Oracle Code</t>
  </si>
  <si>
    <t>Product/ Function Code</t>
  </si>
  <si>
    <t>OPS Type</t>
  </si>
  <si>
    <t>Centre Code</t>
  </si>
  <si>
    <t>Name</t>
  </si>
  <si>
    <t>VOC/AU/2016/063</t>
  </si>
  <si>
    <t xml:space="preserve">VOC Number </t>
  </si>
  <si>
    <t>Amount Approved</t>
  </si>
  <si>
    <t>LAUMEBACPOBOX72</t>
  </si>
  <si>
    <t>Remit ID / Vendor Site Code</t>
  </si>
  <si>
    <t>LAUACH</t>
  </si>
  <si>
    <t xml:space="preserve">Payment Type </t>
  </si>
  <si>
    <t>Invoice Date</t>
  </si>
  <si>
    <t>2480078</t>
  </si>
  <si>
    <t>Supplier Number</t>
  </si>
  <si>
    <t>AUD</t>
  </si>
  <si>
    <t>Currency</t>
  </si>
  <si>
    <t>642740</t>
  </si>
  <si>
    <t>Invoice #</t>
  </si>
  <si>
    <t>Vendor Acct Number #</t>
  </si>
  <si>
    <t>2773</t>
  </si>
  <si>
    <t>RRDD</t>
  </si>
  <si>
    <t>Toll Express</t>
  </si>
  <si>
    <t>Carrier</t>
  </si>
  <si>
    <t>273</t>
  </si>
  <si>
    <t>Company</t>
  </si>
  <si>
    <t>UPS Supply Chain Solutions</t>
  </si>
  <si>
    <t>D76486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</si>
</sst>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$-C09]#,##0.00"/>
    <numFmt numFmtId="177" formatCode="[$$-C09]#,##0.00;[$$-C09]\-#,##0.00"/>
    <numFmt numFmtId="178" formatCode="dd\-mmmm\-yyyy"/>
    <numFmt numFmtId="179" formatCode="dd\/mm\/yyyy"/>
  </numFmts>
  <fonts count="7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細明體"/>
      <family val="3"/>
      <charset val="136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u/>
      <sz val="10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top"/>
    </xf>
  </cellStyleXfs>
  <cellXfs count="16">
    <xf numFmtId="0" fontId="0" fillId="0" borderId="0" xfId="0">
      <alignment vertical="top"/>
    </xf>
    <xf numFmtId="0" fontId="1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right" vertical="top" wrapText="1" readingOrder="1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 wrapText="1" readingOrder="1"/>
    </xf>
    <xf numFmtId="179" fontId="1" fillId="0" borderId="1" xfId="0" applyNumberFormat="1" applyFont="1" applyBorder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176" fontId="1" fillId="0" borderId="0" xfId="0" applyNumberFormat="1" applyFont="1" applyAlignment="1">
      <alignment horizontal="right" vertical="top"/>
    </xf>
    <xf numFmtId="176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 wrapText="1" readingOrder="1"/>
    </xf>
    <xf numFmtId="177" fontId="1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 wrapText="1" readingOrder="1"/>
    </xf>
    <xf numFmtId="178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41</xdr:col>
      <xdr:colOff>0</xdr:colOff>
      <xdr:row>0</xdr:row>
      <xdr:rowOff>0</xdr:rowOff>
    </xdr:from>
    <xdr:ext cx="466725" cy="539750"/>
    <xdr:pic>
      <xdr:nvPicPr>
        <xdr:cNvPr id="2" name="Picture 1025">
          <a:extLst>
            <a:ext uri="{FF2B5EF4-FFF2-40B4-BE49-F238E27FC236}">
              <a16:creationId xmlns:a16="http://schemas.microsoft.com/office/drawing/2014/main" id="{7CC3DBBF-C866-4FF4-A858-D24BD6B46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93600" y="0"/>
          <a:ext cx="466725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ipment%20Regi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202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CADBA-F4CF-45C6-835B-F92FA514F6D4}">
  <sheetPr codeName="Sheet1">
    <outlinePr summaryBelow="0"/>
    <pageSetUpPr autoPageBreaks="0"/>
  </sheetPr>
  <dimension ref="A1:AR56"/>
  <sheetViews>
    <sheetView showGridLines="0" tabSelected="1" topLeftCell="A16" workbookViewId="0">
      <selection activeCell="H40" sqref="H40"/>
    </sheetView>
  </sheetViews>
  <sheetFormatPr defaultRowHeight="12.75" customHeight="1" x14ac:dyDescent="0.2"/>
  <cols>
    <col min="1" max="1" width="1.140625" customWidth="1"/>
    <col min="2" max="2" width="6" customWidth="1"/>
    <col min="3" max="3" width="4.28515625" customWidth="1"/>
    <col min="4" max="6" width="1.140625" customWidth="1"/>
    <col min="7" max="7" width="6.85546875" customWidth="1"/>
    <col min="8" max="8" width="1.140625" customWidth="1"/>
    <col min="9" max="9" width="2.28515625" customWidth="1"/>
    <col min="10" max="11" width="1.140625" customWidth="1"/>
    <col min="12" max="12" width="2.28515625" customWidth="1"/>
    <col min="13" max="13" width="1.140625" customWidth="1"/>
    <col min="14" max="14" width="5.7109375" customWidth="1"/>
    <col min="15" max="15" width="4.5703125" customWidth="1"/>
    <col min="16" max="16" width="1.140625" customWidth="1"/>
    <col min="17" max="17" width="2.28515625" customWidth="1"/>
    <col min="18" max="18" width="3.140625" customWidth="1"/>
    <col min="19" max="20" width="1.42578125" customWidth="1"/>
    <col min="21" max="21" width="3.140625" customWidth="1"/>
    <col min="22" max="22" width="5.140625" customWidth="1"/>
    <col min="23" max="23" width="1.7109375" customWidth="1"/>
    <col min="24" max="25" width="3.42578125" customWidth="1"/>
    <col min="26" max="26" width="1.140625" customWidth="1"/>
    <col min="27" max="27" width="2" customWidth="1"/>
    <col min="28" max="28" width="2.5703125" customWidth="1"/>
    <col min="29" max="29" width="1.140625" customWidth="1"/>
    <col min="30" max="30" width="6.85546875" customWidth="1"/>
    <col min="31" max="31" width="11.140625" customWidth="1"/>
    <col min="32" max="32" width="2.5703125" customWidth="1"/>
    <col min="33" max="33" width="1.140625" customWidth="1"/>
    <col min="34" max="34" width="9" customWidth="1"/>
    <col min="35" max="35" width="2.42578125" customWidth="1"/>
    <col min="36" max="36" width="1.140625" customWidth="1"/>
    <col min="37" max="37" width="5.42578125" customWidth="1"/>
    <col min="38" max="38" width="1.42578125" customWidth="1"/>
    <col min="39" max="39" width="2.140625" customWidth="1"/>
    <col min="40" max="40" width="1" customWidth="1"/>
    <col min="41" max="41" width="3.5703125" customWidth="1"/>
    <col min="42" max="42" width="7" customWidth="1"/>
    <col min="43" max="43" width="2.140625" customWidth="1"/>
    <col min="44" max="44" width="1" customWidth="1"/>
    <col min="45" max="256" width="6.85546875" customWidth="1"/>
  </cols>
  <sheetData>
    <row r="1" spans="1:43" ht="6.75" customHeight="1" x14ac:dyDescent="0.2"/>
    <row r="2" spans="1:43" x14ac:dyDescent="0.2">
      <c r="B2" s="1" t="s">
        <v>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43" ht="27.75" customHeight="1" x14ac:dyDescent="0.2"/>
    <row r="4" spans="1:43" ht="0.75" customHeight="1" x14ac:dyDescent="0.2">
      <c r="A4" s="1" t="s">
        <v>54</v>
      </c>
      <c r="B4" s="1"/>
      <c r="C4" s="1"/>
      <c r="F4" s="1" t="s">
        <v>53</v>
      </c>
      <c r="G4" s="1"/>
      <c r="H4" s="1"/>
      <c r="I4" s="1"/>
      <c r="M4" s="2" t="s">
        <v>52</v>
      </c>
      <c r="N4" s="2"/>
      <c r="O4" s="2"/>
      <c r="P4" s="2"/>
      <c r="Q4" s="2"/>
      <c r="R4" s="2"/>
      <c r="T4" s="3" t="s">
        <v>51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43" ht="12" customHeight="1" x14ac:dyDescent="0.2">
      <c r="A5" s="1"/>
      <c r="B5" s="1"/>
      <c r="C5" s="1"/>
      <c r="F5" s="1"/>
      <c r="G5" s="1"/>
      <c r="H5" s="1"/>
      <c r="I5" s="1"/>
      <c r="M5" s="2"/>
      <c r="N5" s="2"/>
      <c r="O5" s="2"/>
      <c r="P5" s="2"/>
      <c r="Q5" s="2"/>
      <c r="R5" s="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43" ht="6.75" customHeight="1" x14ac:dyDescent="0.2"/>
    <row r="7" spans="1:43" ht="13.5" customHeight="1" x14ac:dyDescent="0.2">
      <c r="A7" s="1" t="s">
        <v>50</v>
      </c>
      <c r="B7" s="1"/>
      <c r="C7" s="1"/>
      <c r="F7" s="1" t="s">
        <v>49</v>
      </c>
      <c r="G7" s="1"/>
      <c r="H7" s="1"/>
      <c r="I7" s="1"/>
      <c r="L7" s="2" t="s">
        <v>48</v>
      </c>
      <c r="M7" s="2"/>
      <c r="N7" s="2"/>
      <c r="O7" s="2"/>
      <c r="P7" s="2"/>
      <c r="Q7" s="2"/>
      <c r="R7" s="2"/>
      <c r="T7" s="4" t="s">
        <v>56</v>
      </c>
      <c r="U7" s="4"/>
      <c r="V7" s="4"/>
      <c r="W7" s="4"/>
      <c r="X7" s="4"/>
      <c r="Y7" s="4"/>
      <c r="Z7" s="4"/>
      <c r="AA7" s="4"/>
      <c r="AB7" s="4"/>
    </row>
    <row r="8" spans="1:43" ht="6.75" customHeight="1" x14ac:dyDescent="0.2">
      <c r="AH8" s="2" t="s">
        <v>47</v>
      </c>
      <c r="AI8" s="2"/>
      <c r="AJ8" s="2"/>
      <c r="AK8" s="2"/>
      <c r="AM8" s="3" t="s">
        <v>46</v>
      </c>
      <c r="AN8" s="3"/>
      <c r="AO8" s="3"/>
      <c r="AP8" s="3"/>
      <c r="AQ8" s="3"/>
    </row>
    <row r="9" spans="1:43" ht="6" customHeight="1" x14ac:dyDescent="0.2">
      <c r="A9" s="1" t="s">
        <v>45</v>
      </c>
      <c r="B9" s="1"/>
      <c r="C9" s="1"/>
      <c r="F9" s="1" t="s">
        <v>44</v>
      </c>
      <c r="G9" s="1"/>
      <c r="H9" s="1"/>
      <c r="I9" s="1"/>
      <c r="M9" s="2" t="s">
        <v>43</v>
      </c>
      <c r="N9" s="2"/>
      <c r="O9" s="2"/>
      <c r="P9" s="2"/>
      <c r="Q9" s="2"/>
      <c r="R9" s="2"/>
      <c r="T9" s="5" t="s">
        <v>42</v>
      </c>
      <c r="U9" s="5"/>
      <c r="V9" s="5"/>
      <c r="W9" s="5"/>
      <c r="X9" s="5"/>
      <c r="Y9" s="5"/>
      <c r="Z9" s="5"/>
      <c r="AA9" s="5"/>
      <c r="AH9" s="2"/>
      <c r="AI9" s="2"/>
      <c r="AJ9" s="2"/>
      <c r="AK9" s="2"/>
      <c r="AM9" s="3"/>
      <c r="AN9" s="3"/>
      <c r="AO9" s="3"/>
      <c r="AP9" s="3"/>
      <c r="AQ9" s="3"/>
    </row>
    <row r="10" spans="1:43" ht="7.5" customHeight="1" x14ac:dyDescent="0.2">
      <c r="A10" s="1"/>
      <c r="B10" s="1"/>
      <c r="C10" s="1"/>
      <c r="F10" s="1"/>
      <c r="G10" s="1"/>
      <c r="H10" s="1"/>
      <c r="I10" s="1"/>
      <c r="M10" s="2"/>
      <c r="N10" s="2"/>
      <c r="O10" s="2"/>
      <c r="P10" s="2"/>
      <c r="Q10" s="2"/>
      <c r="R10" s="2"/>
      <c r="T10" s="5"/>
      <c r="U10" s="5"/>
      <c r="V10" s="5"/>
      <c r="W10" s="5"/>
      <c r="X10" s="5"/>
      <c r="Y10" s="5"/>
      <c r="Z10" s="5"/>
      <c r="AA10" s="5"/>
    </row>
    <row r="11" spans="1:43" ht="6.75" customHeight="1" x14ac:dyDescent="0.2">
      <c r="AH11" s="2" t="s">
        <v>41</v>
      </c>
      <c r="AI11" s="2"/>
      <c r="AJ11" s="2"/>
      <c r="AK11" s="2"/>
      <c r="AM11" s="7">
        <v>44607</v>
      </c>
      <c r="AN11" s="7"/>
      <c r="AO11" s="7"/>
      <c r="AP11" s="7"/>
      <c r="AQ11" s="7"/>
    </row>
    <row r="12" spans="1:43" ht="6" customHeight="1" x14ac:dyDescent="0.2">
      <c r="A12" s="1" t="s">
        <v>40</v>
      </c>
      <c r="B12" s="1"/>
      <c r="C12" s="1"/>
      <c r="D12" s="1"/>
      <c r="F12" s="1" t="s">
        <v>39</v>
      </c>
      <c r="G12" s="1"/>
      <c r="H12" s="1"/>
      <c r="I12" s="1"/>
      <c r="K12" s="8" t="s">
        <v>38</v>
      </c>
      <c r="L12" s="8"/>
      <c r="M12" s="8"/>
      <c r="N12" s="8"/>
      <c r="O12" s="8"/>
      <c r="P12" s="8"/>
      <c r="Q12" s="8"/>
      <c r="R12" s="8"/>
      <c r="T12" s="5" t="s">
        <v>37</v>
      </c>
      <c r="U12" s="5"/>
      <c r="V12" s="5"/>
      <c r="W12" s="5"/>
      <c r="X12" s="5"/>
      <c r="Y12" s="5"/>
      <c r="Z12" s="5"/>
      <c r="AA12" s="5"/>
      <c r="AH12" s="2"/>
      <c r="AI12" s="2"/>
      <c r="AJ12" s="2"/>
      <c r="AK12" s="2"/>
      <c r="AM12" s="7"/>
      <c r="AN12" s="7"/>
      <c r="AO12" s="7"/>
      <c r="AP12" s="7"/>
      <c r="AQ12" s="7"/>
    </row>
    <row r="13" spans="1:43" ht="7.5" customHeight="1" x14ac:dyDescent="0.2">
      <c r="A13" s="1"/>
      <c r="B13" s="1"/>
      <c r="C13" s="1"/>
      <c r="D13" s="1"/>
      <c r="F13" s="1"/>
      <c r="G13" s="1"/>
      <c r="H13" s="1"/>
      <c r="I13" s="1"/>
      <c r="K13" s="8"/>
      <c r="L13" s="8"/>
      <c r="M13" s="8"/>
      <c r="N13" s="8"/>
      <c r="O13" s="8"/>
      <c r="P13" s="8"/>
      <c r="Q13" s="8"/>
      <c r="R13" s="8"/>
      <c r="T13" s="5"/>
      <c r="U13" s="5"/>
      <c r="V13" s="5"/>
      <c r="W13" s="5"/>
      <c r="X13" s="5"/>
      <c r="Y13" s="5"/>
      <c r="Z13" s="5"/>
      <c r="AA13" s="5"/>
    </row>
    <row r="14" spans="1:43" ht="6.75" customHeight="1" x14ac:dyDescent="0.2">
      <c r="AH14" s="2" t="s">
        <v>36</v>
      </c>
      <c r="AI14" s="2"/>
      <c r="AJ14" s="2"/>
      <c r="AK14" s="2"/>
      <c r="AM14" s="11">
        <v>13040.33</v>
      </c>
      <c r="AN14" s="11"/>
      <c r="AO14" s="11"/>
      <c r="AP14" s="11"/>
      <c r="AQ14" s="11"/>
    </row>
    <row r="15" spans="1:43" ht="6" customHeight="1" x14ac:dyDescent="0.2">
      <c r="M15" s="2" t="s">
        <v>35</v>
      </c>
      <c r="N15" s="2"/>
      <c r="O15" s="2"/>
      <c r="P15" s="2"/>
      <c r="Q15" s="2"/>
      <c r="R15" s="2"/>
      <c r="T15" s="5" t="s">
        <v>34</v>
      </c>
      <c r="U15" s="5"/>
      <c r="V15" s="5"/>
      <c r="W15" s="5"/>
      <c r="X15" s="5"/>
      <c r="Y15" s="5"/>
      <c r="Z15" s="5"/>
      <c r="AA15" s="5"/>
      <c r="AH15" s="2"/>
      <c r="AI15" s="2"/>
      <c r="AJ15" s="2"/>
      <c r="AK15" s="2"/>
      <c r="AM15" s="11"/>
      <c r="AN15" s="11"/>
      <c r="AO15" s="11"/>
      <c r="AP15" s="11"/>
      <c r="AQ15" s="11"/>
    </row>
    <row r="16" spans="1:43" ht="6.75" customHeight="1" x14ac:dyDescent="0.2">
      <c r="M16" s="2"/>
      <c r="N16" s="2"/>
      <c r="O16" s="2"/>
      <c r="P16" s="2"/>
      <c r="Q16" s="2"/>
      <c r="R16" s="2"/>
      <c r="T16" s="5"/>
      <c r="U16" s="5"/>
      <c r="V16" s="5"/>
      <c r="W16" s="5"/>
      <c r="X16" s="5"/>
      <c r="Y16" s="5"/>
      <c r="Z16" s="5"/>
      <c r="AA16" s="5"/>
    </row>
    <row r="17" spans="1:44" ht="6" customHeight="1" x14ac:dyDescent="0.2"/>
    <row r="18" spans="1:44" ht="6" customHeight="1" x14ac:dyDescent="0.2"/>
    <row r="19" spans="1:44" ht="6.75" customHeight="1" x14ac:dyDescent="0.2">
      <c r="A19" s="9" t="s">
        <v>33</v>
      </c>
      <c r="B19" s="9"/>
      <c r="C19" s="9"/>
      <c r="D19" s="9"/>
      <c r="E19" s="9"/>
      <c r="F19" s="9" t="s">
        <v>32</v>
      </c>
      <c r="G19" s="9"/>
      <c r="H19" s="9"/>
      <c r="I19" s="9" t="s">
        <v>31</v>
      </c>
      <c r="J19" s="9"/>
      <c r="K19" s="9"/>
      <c r="L19" s="9"/>
      <c r="N19" s="9" t="s">
        <v>30</v>
      </c>
      <c r="O19" s="9"/>
      <c r="P19" s="9"/>
      <c r="R19" s="9" t="s">
        <v>29</v>
      </c>
      <c r="S19" s="9"/>
      <c r="T19" s="9"/>
      <c r="U19" s="9"/>
      <c r="V19" s="9"/>
      <c r="W19" s="9" t="s">
        <v>28</v>
      </c>
      <c r="X19" s="9"/>
      <c r="Y19" s="9"/>
      <c r="Z19" s="9"/>
      <c r="AA19" s="9"/>
      <c r="AB19" s="9"/>
      <c r="AC19" s="9"/>
      <c r="AD19" s="9"/>
      <c r="AE19" s="9" t="s">
        <v>27</v>
      </c>
      <c r="AG19" s="6" t="s">
        <v>26</v>
      </c>
      <c r="AH19" s="6"/>
    </row>
    <row r="20" spans="1:44" ht="15.75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N20" s="9"/>
      <c r="O20" s="9"/>
      <c r="P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G20" s="6"/>
      <c r="AH20" s="6"/>
      <c r="AK20" s="6" t="s">
        <v>25</v>
      </c>
      <c r="AL20" s="6"/>
      <c r="AM20" s="6"/>
      <c r="AP20" s="6" t="s">
        <v>8</v>
      </c>
      <c r="AQ20" s="6"/>
      <c r="AR20" s="6"/>
    </row>
    <row r="21" spans="1:44" ht="14.25" customHeight="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N21" s="9"/>
      <c r="O21" s="9"/>
      <c r="P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G21" s="6"/>
      <c r="AH21" s="6"/>
    </row>
    <row r="22" spans="1:44" ht="13.5" customHeight="1" x14ac:dyDescent="0.2">
      <c r="N22" s="9"/>
      <c r="O22" s="9"/>
      <c r="P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G22" s="6"/>
      <c r="AH22" s="6"/>
    </row>
    <row r="23" spans="1:44" ht="8.25" customHeight="1" x14ac:dyDescent="0.2"/>
    <row r="24" spans="1:44" x14ac:dyDescent="0.2">
      <c r="A24" s="4" t="s">
        <v>24</v>
      </c>
      <c r="B24" s="4"/>
      <c r="C24" s="4"/>
      <c r="D24" s="4"/>
      <c r="E24" s="4"/>
      <c r="F24" s="4"/>
      <c r="G24" s="4" t="s">
        <v>12</v>
      </c>
      <c r="H24" s="4"/>
      <c r="I24" s="4"/>
      <c r="J24" s="4" t="s">
        <v>11</v>
      </c>
      <c r="K24" s="4"/>
      <c r="L24" s="4"/>
      <c r="M24" s="4"/>
      <c r="N24" s="4"/>
      <c r="O24" s="4" t="s">
        <v>17</v>
      </c>
      <c r="P24" s="4"/>
      <c r="Q24" s="4"/>
      <c r="R24" s="4"/>
      <c r="S24" s="4">
        <v>758199</v>
      </c>
      <c r="T24" s="4"/>
      <c r="U24" s="4"/>
      <c r="V24" s="4"/>
      <c r="X24" s="4" t="s">
        <v>23</v>
      </c>
      <c r="Y24" s="4"/>
      <c r="Z24" s="4"/>
      <c r="AE24" t="e">
        <f>INDEX([1]Feb2022!$V:$V,MATCH(A24,[1]Feb2022!$U:$U,))</f>
        <v>#N/A</v>
      </c>
      <c r="AG24" s="10">
        <v>4076.91</v>
      </c>
      <c r="AH24" s="10"/>
      <c r="AK24" s="10">
        <v>407.69099999999997</v>
      </c>
      <c r="AL24" s="10"/>
      <c r="AM24" s="10"/>
      <c r="AP24" s="10">
        <v>4484.6009999999997</v>
      </c>
      <c r="AQ24" s="10"/>
      <c r="AR24" s="10"/>
    </row>
    <row r="25" spans="1:44" ht="12" customHeight="1" x14ac:dyDescent="0.2"/>
    <row r="26" spans="1:44" x14ac:dyDescent="0.2">
      <c r="A26" s="4" t="s">
        <v>22</v>
      </c>
      <c r="B26" s="4"/>
      <c r="C26" s="4"/>
      <c r="D26" s="4"/>
      <c r="E26" s="4"/>
      <c r="F26" s="4"/>
      <c r="G26" s="4" t="s">
        <v>14</v>
      </c>
      <c r="H26" s="4"/>
      <c r="I26" s="4"/>
      <c r="J26" s="4" t="s">
        <v>11</v>
      </c>
      <c r="K26" s="4"/>
      <c r="L26" s="4"/>
      <c r="M26" s="4"/>
      <c r="N26" s="4"/>
      <c r="O26" t="e">
        <f>INDEX([2]Mapping!$D:$D,MATCH((A26),[2]Mapping!$A:$A,0))</f>
        <v>#N/A</v>
      </c>
      <c r="R26" s="4">
        <v>758199</v>
      </c>
      <c r="S26" s="4"/>
      <c r="T26" s="4"/>
      <c r="U26" s="4"/>
      <c r="X26" t="e">
        <f>INDEX([2]Mapping!$C:$C,MATCH((A26),[2]Mapping!$A:$A,0))</f>
        <v>#N/A</v>
      </c>
      <c r="AE26" t="e">
        <f>INDEX([1]Feb2022!$V:$V,MATCH(A26,[1]Feb2022!$U:$U,))</f>
        <v>#N/A</v>
      </c>
      <c r="AG26" s="10">
        <v>313.61</v>
      </c>
      <c r="AH26" s="10"/>
      <c r="AK26" s="10">
        <v>31.361000000000001</v>
      </c>
      <c r="AL26" s="10"/>
      <c r="AM26" s="10"/>
      <c r="AP26" s="10">
        <v>344.971</v>
      </c>
      <c r="AQ26" s="10"/>
      <c r="AR26" s="10"/>
    </row>
    <row r="27" spans="1:44" ht="12" customHeight="1" x14ac:dyDescent="0.2"/>
    <row r="28" spans="1:44" x14ac:dyDescent="0.2">
      <c r="A28" s="4" t="s">
        <v>21</v>
      </c>
      <c r="B28" s="4"/>
      <c r="C28" s="4"/>
      <c r="D28" s="4"/>
      <c r="E28" s="4"/>
      <c r="F28" s="4"/>
      <c r="G28" s="4" t="s">
        <v>14</v>
      </c>
      <c r="H28" s="4"/>
      <c r="I28" s="4"/>
      <c r="J28" s="4" t="s">
        <v>11</v>
      </c>
      <c r="K28" s="4"/>
      <c r="L28" s="4"/>
      <c r="M28" s="4"/>
      <c r="N28" s="4"/>
      <c r="O28" s="4" t="s">
        <v>17</v>
      </c>
      <c r="P28" s="4"/>
      <c r="Q28" s="4"/>
      <c r="R28" s="4"/>
      <c r="S28" s="4">
        <v>758199</v>
      </c>
      <c r="T28" s="4"/>
      <c r="U28" s="4"/>
      <c r="V28" s="4"/>
      <c r="X28" s="4" t="s">
        <v>19</v>
      </c>
      <c r="Y28" s="4"/>
      <c r="Z28" s="4"/>
      <c r="AE28" t="e">
        <f>INDEX([1]Feb2022!$V:$V,MATCH(A28,[1]Feb2022!$U:$U,))</f>
        <v>#N/A</v>
      </c>
      <c r="AG28" s="10">
        <v>344.47</v>
      </c>
      <c r="AH28" s="10"/>
      <c r="AK28" s="10">
        <v>34.446999999999996</v>
      </c>
      <c r="AL28" s="10"/>
      <c r="AM28" s="10"/>
      <c r="AP28" s="10">
        <v>378.91699999999997</v>
      </c>
      <c r="AQ28" s="10"/>
      <c r="AR28" s="10"/>
    </row>
    <row r="29" spans="1:44" ht="12" customHeight="1" x14ac:dyDescent="0.2"/>
    <row r="30" spans="1:44" x14ac:dyDescent="0.2">
      <c r="A30" s="4" t="s">
        <v>20</v>
      </c>
      <c r="B30" s="4"/>
      <c r="C30" s="4"/>
      <c r="D30" s="4"/>
      <c r="E30" s="4"/>
      <c r="F30" s="4"/>
      <c r="G30" s="4" t="s">
        <v>14</v>
      </c>
      <c r="H30" s="4"/>
      <c r="I30" s="4"/>
      <c r="J30" s="4" t="s">
        <v>11</v>
      </c>
      <c r="K30" s="4"/>
      <c r="L30" s="4"/>
      <c r="M30" s="4"/>
      <c r="N30" s="4"/>
      <c r="O30" s="4" t="s">
        <v>17</v>
      </c>
      <c r="P30" s="4"/>
      <c r="Q30" s="4"/>
      <c r="R30" s="4"/>
      <c r="S30" s="4">
        <v>758199</v>
      </c>
      <c r="T30" s="4"/>
      <c r="U30" s="4"/>
      <c r="V30" s="4"/>
      <c r="X30" s="4" t="s">
        <v>19</v>
      </c>
      <c r="Y30" s="4"/>
      <c r="Z30" s="4"/>
      <c r="AE30" t="e">
        <f>INDEX([1]Feb2022!$V:$V,MATCH(A30,[1]Feb2022!$U:$U,))</f>
        <v>#N/A</v>
      </c>
      <c r="AG30" s="10">
        <v>26.25</v>
      </c>
      <c r="AH30" s="10"/>
      <c r="AK30" s="10">
        <v>2.625</v>
      </c>
      <c r="AL30" s="10"/>
      <c r="AM30" s="10"/>
      <c r="AP30" s="10">
        <v>28.875</v>
      </c>
      <c r="AQ30" s="10"/>
      <c r="AR30" s="10"/>
    </row>
    <row r="31" spans="1:44" ht="12" customHeight="1" x14ac:dyDescent="0.2"/>
    <row r="32" spans="1:44" x14ac:dyDescent="0.2">
      <c r="A32" s="4" t="s">
        <v>18</v>
      </c>
      <c r="B32" s="4"/>
      <c r="C32" s="4"/>
      <c r="D32" s="4"/>
      <c r="E32" s="4"/>
      <c r="F32" s="4"/>
      <c r="G32" s="4" t="s">
        <v>14</v>
      </c>
      <c r="H32" s="4"/>
      <c r="I32" s="4"/>
      <c r="J32" s="4" t="s">
        <v>11</v>
      </c>
      <c r="K32" s="4"/>
      <c r="L32" s="4"/>
      <c r="M32" s="4"/>
      <c r="N32" s="4"/>
      <c r="O32" s="4" t="s">
        <v>17</v>
      </c>
      <c r="P32" s="4"/>
      <c r="Q32" s="4"/>
      <c r="R32" s="4"/>
      <c r="X32" s="4" t="s">
        <v>16</v>
      </c>
      <c r="Y32" s="4"/>
      <c r="Z32" s="4"/>
      <c r="AE32" t="e">
        <f>INDEX([1]Feb2022!$V:$V,MATCH(A32,[1]Feb2022!$U:$U,))</f>
        <v>#N/A</v>
      </c>
      <c r="AG32" s="10">
        <v>30</v>
      </c>
      <c r="AH32" s="10"/>
      <c r="AK32" s="10">
        <v>0</v>
      </c>
      <c r="AL32" s="10"/>
      <c r="AM32" s="10"/>
      <c r="AP32" s="10">
        <v>30</v>
      </c>
      <c r="AQ32" s="10"/>
      <c r="AR32" s="10"/>
    </row>
    <row r="33" spans="1:44" ht="12" customHeight="1" x14ac:dyDescent="0.2"/>
    <row r="34" spans="1:44" x14ac:dyDescent="0.2">
      <c r="A34" s="4" t="s">
        <v>18</v>
      </c>
      <c r="B34" s="4"/>
      <c r="C34" s="4"/>
      <c r="D34" s="4"/>
      <c r="E34" s="4"/>
      <c r="F34" s="4"/>
      <c r="G34" s="4" t="s">
        <v>14</v>
      </c>
      <c r="H34" s="4"/>
      <c r="I34" s="4"/>
      <c r="J34" s="4" t="s">
        <v>11</v>
      </c>
      <c r="K34" s="4"/>
      <c r="L34" s="4"/>
      <c r="M34" s="4"/>
      <c r="N34" s="4"/>
      <c r="O34" s="4" t="s">
        <v>17</v>
      </c>
      <c r="P34" s="4"/>
      <c r="Q34" s="4"/>
      <c r="R34" s="4"/>
      <c r="S34" s="4">
        <v>758199</v>
      </c>
      <c r="T34" s="4"/>
      <c r="U34" s="4"/>
      <c r="V34" s="4"/>
      <c r="X34" s="4" t="s">
        <v>16</v>
      </c>
      <c r="Y34" s="4"/>
      <c r="Z34" s="4"/>
      <c r="AE34" t="e">
        <f>INDEX([1]Feb2022!$V:$V,MATCH(A34,[1]Feb2022!$U:$U,))</f>
        <v>#N/A</v>
      </c>
      <c r="AG34" s="10">
        <v>4480.43</v>
      </c>
      <c r="AH34" s="10"/>
      <c r="AK34" s="10">
        <v>448.04300000000001</v>
      </c>
      <c r="AL34" s="10"/>
      <c r="AM34" s="10"/>
      <c r="AP34" s="10">
        <v>4928.473</v>
      </c>
      <c r="AQ34" s="10"/>
      <c r="AR34" s="10"/>
    </row>
    <row r="35" spans="1:44" ht="12" customHeight="1" x14ac:dyDescent="0.2"/>
    <row r="36" spans="1:44" x14ac:dyDescent="0.2">
      <c r="A36" s="4" t="s">
        <v>15</v>
      </c>
      <c r="B36" s="4"/>
      <c r="C36" s="4"/>
      <c r="D36" s="4"/>
      <c r="E36" s="4"/>
      <c r="F36" s="4"/>
      <c r="G36" s="4" t="s">
        <v>14</v>
      </c>
      <c r="H36" s="4"/>
      <c r="I36" s="4"/>
      <c r="J36" s="4" t="s">
        <v>11</v>
      </c>
      <c r="K36" s="4"/>
      <c r="L36" s="4"/>
      <c r="M36" s="4"/>
      <c r="N36" s="4"/>
      <c r="O36" t="e">
        <f>INDEX([2]Mapping!$D:$D,MATCH((A36),[2]Mapping!$A:$A,0))</f>
        <v>#N/A</v>
      </c>
      <c r="R36" s="4">
        <v>758199</v>
      </c>
      <c r="S36" s="4"/>
      <c r="T36" s="4"/>
      <c r="U36" s="4"/>
      <c r="X36" t="e">
        <f>INDEX([2]Mapping!$C:$C,MATCH((A36),[2]Mapping!$A:$A,0))</f>
        <v>#N/A</v>
      </c>
      <c r="AE36" t="e">
        <f>INDEX([1]Feb2022!$V:$V,MATCH(A36,[1]Feb2022!$U:$U,))</f>
        <v>#N/A</v>
      </c>
      <c r="AG36" s="10">
        <v>2217.6</v>
      </c>
      <c r="AH36" s="10"/>
      <c r="AK36" s="10">
        <v>221.76</v>
      </c>
      <c r="AL36" s="10"/>
      <c r="AM36" s="10"/>
      <c r="AP36" s="10">
        <v>2439.36</v>
      </c>
      <c r="AQ36" s="10"/>
      <c r="AR36" s="10"/>
    </row>
    <row r="37" spans="1:44" ht="12" customHeight="1" x14ac:dyDescent="0.2"/>
    <row r="38" spans="1:44" x14ac:dyDescent="0.2">
      <c r="A38" s="4" t="s">
        <v>13</v>
      </c>
      <c r="B38" s="4"/>
      <c r="C38" s="4"/>
      <c r="D38" s="4"/>
      <c r="E38" s="4"/>
      <c r="F38" s="4"/>
      <c r="G38" s="4" t="s">
        <v>12</v>
      </c>
      <c r="H38" s="4"/>
      <c r="I38" s="4"/>
      <c r="J38" s="4" t="s">
        <v>11</v>
      </c>
      <c r="K38" s="4"/>
      <c r="L38" s="4"/>
      <c r="M38" s="4"/>
      <c r="N38" s="4"/>
      <c r="O38" s="4" t="s">
        <v>10</v>
      </c>
      <c r="P38" s="4"/>
      <c r="Q38" s="4"/>
      <c r="R38" s="4"/>
      <c r="S38" s="4">
        <v>758199</v>
      </c>
      <c r="T38" s="4"/>
      <c r="U38" s="4"/>
      <c r="V38" s="4"/>
      <c r="X38" s="4" t="s">
        <v>9</v>
      </c>
      <c r="Y38" s="4"/>
      <c r="Z38" s="4"/>
      <c r="AE38" t="e">
        <f>INDEX([1]Feb2022!$V:$V,MATCH(A38,[1]Feb2022!$U:$U,))</f>
        <v>#N/A</v>
      </c>
      <c r="AG38" s="10">
        <v>368.3</v>
      </c>
      <c r="AH38" s="10"/>
      <c r="AK38" s="10">
        <v>36.83</v>
      </c>
      <c r="AL38" s="10"/>
      <c r="AM38" s="10"/>
      <c r="AP38" s="10">
        <v>405.13</v>
      </c>
      <c r="AQ38" s="10"/>
      <c r="AR38" s="10"/>
    </row>
    <row r="39" spans="1:44" ht="12" customHeight="1" x14ac:dyDescent="0.2"/>
    <row r="40" spans="1:44" ht="9" customHeight="1" x14ac:dyDescent="0.2"/>
    <row r="41" spans="1:44" x14ac:dyDescent="0.2">
      <c r="P41" s="12" t="s">
        <v>8</v>
      </c>
      <c r="Q41" s="12"/>
      <c r="R41" s="12"/>
      <c r="S41" s="12"/>
      <c r="T41" s="12"/>
      <c r="U41" s="12"/>
      <c r="AG41" s="10">
        <v>11857.57</v>
      </c>
      <c r="AH41" s="10"/>
      <c r="AK41" s="10">
        <v>1182.7570000000001</v>
      </c>
      <c r="AL41" s="10"/>
      <c r="AM41" s="10"/>
      <c r="AP41" s="10">
        <v>13040.326999999999</v>
      </c>
      <c r="AQ41" s="10"/>
      <c r="AR41" s="10"/>
    </row>
    <row r="42" spans="1:44" ht="15.75" customHeight="1" x14ac:dyDescent="0.2"/>
    <row r="43" spans="1:44" x14ac:dyDescent="0.2">
      <c r="C43" s="14" t="s">
        <v>7</v>
      </c>
      <c r="D43" s="14"/>
      <c r="E43" s="14"/>
      <c r="F43" s="14"/>
      <c r="G43" s="14"/>
      <c r="H43" s="14"/>
      <c r="I43" s="14"/>
      <c r="K43" s="4" t="s">
        <v>6</v>
      </c>
      <c r="L43" s="4"/>
      <c r="M43" s="4"/>
      <c r="N43" s="4"/>
      <c r="O43" s="4"/>
      <c r="P43" s="4"/>
      <c r="Q43" s="4"/>
      <c r="R43" s="4"/>
      <c r="S43" s="4"/>
      <c r="T43" s="4"/>
      <c r="Y43" s="14" t="s">
        <v>5</v>
      </c>
      <c r="Z43" s="14"/>
      <c r="AA43" s="14"/>
      <c r="AC43" s="15">
        <v>44614</v>
      </c>
      <c r="AD43" s="15"/>
      <c r="AE43" s="15"/>
      <c r="AF43" s="15"/>
    </row>
    <row r="45" spans="1:44" x14ac:dyDescent="0.2">
      <c r="Z45" s="14" t="s">
        <v>4</v>
      </c>
      <c r="AA45" s="14"/>
      <c r="AB45" s="14"/>
      <c r="AC45" s="14"/>
      <c r="AD45" s="14"/>
      <c r="AE45" s="14"/>
      <c r="AK45" s="10">
        <v>1182.76</v>
      </c>
      <c r="AL45" s="10"/>
      <c r="AM45" s="10"/>
      <c r="AN45" s="10"/>
      <c r="AP45" s="10">
        <v>13040.33</v>
      </c>
      <c r="AQ45" s="10"/>
      <c r="AR45" s="10"/>
    </row>
    <row r="46" spans="1:44" ht="6.75" customHeight="1" x14ac:dyDescent="0.2"/>
    <row r="47" spans="1:44" x14ac:dyDescent="0.2">
      <c r="AD47" s="14" t="s">
        <v>3</v>
      </c>
      <c r="AE47" s="14"/>
      <c r="AK47" s="10">
        <v>1182.76</v>
      </c>
      <c r="AL47" s="10"/>
      <c r="AM47" s="10"/>
      <c r="AN47" s="10"/>
      <c r="AP47" s="10">
        <v>13040.33</v>
      </c>
      <c r="AQ47" s="10"/>
      <c r="AR47" s="10"/>
    </row>
    <row r="48" spans="1:44" ht="6.75" customHeight="1" x14ac:dyDescent="0.2"/>
    <row r="49" spans="26:44" x14ac:dyDescent="0.2">
      <c r="AD49" s="14" t="s">
        <v>2</v>
      </c>
      <c r="AE49" s="14"/>
      <c r="AK49" s="13">
        <v>0</v>
      </c>
      <c r="AL49" s="13"/>
      <c r="AM49" s="13"/>
      <c r="AN49" s="13"/>
      <c r="AP49" s="10">
        <v>0</v>
      </c>
      <c r="AQ49" s="10"/>
      <c r="AR49" s="10"/>
    </row>
    <row r="50" spans="26:44" ht="6.75" customHeight="1" x14ac:dyDescent="0.2"/>
    <row r="51" spans="26:44" x14ac:dyDescent="0.2">
      <c r="Z51" s="14" t="s">
        <v>1</v>
      </c>
      <c r="AA51" s="14"/>
      <c r="AB51" s="14"/>
      <c r="AC51" s="14"/>
      <c r="AD51" s="14"/>
      <c r="AE51" s="14"/>
      <c r="AK51" s="10">
        <v>1175.7</v>
      </c>
      <c r="AL51" s="10"/>
      <c r="AM51" s="10"/>
      <c r="AN51" s="10"/>
      <c r="AP51" s="10">
        <v>12932.65</v>
      </c>
      <c r="AQ51" s="10"/>
      <c r="AR51" s="10"/>
    </row>
    <row r="52" spans="26:44" ht="6.75" customHeight="1" x14ac:dyDescent="0.2"/>
    <row r="53" spans="26:44" x14ac:dyDescent="0.2">
      <c r="Z53" s="14" t="s">
        <v>0</v>
      </c>
      <c r="AA53" s="14"/>
      <c r="AB53" s="14"/>
      <c r="AC53" s="14"/>
      <c r="AD53" s="14"/>
      <c r="AE53" s="14"/>
      <c r="AP53" s="10">
        <v>-107.68</v>
      </c>
      <c r="AQ53" s="10"/>
      <c r="AR53" s="10"/>
    </row>
    <row r="54" spans="26:44" ht="10.5" customHeight="1" x14ac:dyDescent="0.2"/>
    <row r="55" spans="26:44" ht="18.75" customHeight="1" x14ac:dyDescent="0.2"/>
    <row r="56" spans="26:44" ht="30" customHeight="1" x14ac:dyDescent="0.2"/>
  </sheetData>
  <mergeCells count="124">
    <mergeCell ref="Z51:AE51"/>
    <mergeCell ref="AK51:AN51"/>
    <mergeCell ref="AP51:AR51"/>
    <mergeCell ref="Z53:AE53"/>
    <mergeCell ref="AP53:AR53"/>
    <mergeCell ref="AP45:AR45"/>
    <mergeCell ref="AD47:AE47"/>
    <mergeCell ref="AK47:AN47"/>
    <mergeCell ref="AP47:AR47"/>
    <mergeCell ref="AD49:AE49"/>
    <mergeCell ref="P41:U41"/>
    <mergeCell ref="AG41:AH41"/>
    <mergeCell ref="AK41:AM41"/>
    <mergeCell ref="AP41:AR41"/>
    <mergeCell ref="AK49:AN49"/>
    <mergeCell ref="AP49:AR49"/>
    <mergeCell ref="C43:I43"/>
    <mergeCell ref="K43:T43"/>
    <mergeCell ref="Y43:AA43"/>
    <mergeCell ref="AC43:AF43"/>
    <mergeCell ref="Z45:AE45"/>
    <mergeCell ref="AK45:AN45"/>
    <mergeCell ref="A36:F36"/>
    <mergeCell ref="G36:I36"/>
    <mergeCell ref="J36:N36"/>
    <mergeCell ref="R36:U36"/>
    <mergeCell ref="AG36:AH36"/>
    <mergeCell ref="AK36:AM36"/>
    <mergeCell ref="AP36:AR36"/>
    <mergeCell ref="A38:F38"/>
    <mergeCell ref="G38:I38"/>
    <mergeCell ref="J38:N38"/>
    <mergeCell ref="O38:R38"/>
    <mergeCell ref="S38:V38"/>
    <mergeCell ref="X38:Z38"/>
    <mergeCell ref="AG38:AH38"/>
    <mergeCell ref="AK38:AM38"/>
    <mergeCell ref="AP38:AR38"/>
    <mergeCell ref="A34:F34"/>
    <mergeCell ref="G34:I34"/>
    <mergeCell ref="J34:N34"/>
    <mergeCell ref="O34:R34"/>
    <mergeCell ref="S34:V34"/>
    <mergeCell ref="X34:Z34"/>
    <mergeCell ref="AG34:AH34"/>
    <mergeCell ref="AK34:AM34"/>
    <mergeCell ref="AP34:AR34"/>
    <mergeCell ref="AK30:AM30"/>
    <mergeCell ref="AP30:AR30"/>
    <mergeCell ref="A32:F32"/>
    <mergeCell ref="G32:I32"/>
    <mergeCell ref="J32:N32"/>
    <mergeCell ref="O32:R32"/>
    <mergeCell ref="X32:Z32"/>
    <mergeCell ref="AG32:AH32"/>
    <mergeCell ref="AK32:AM32"/>
    <mergeCell ref="AP32:AR32"/>
    <mergeCell ref="AG30:AH30"/>
    <mergeCell ref="A28:F28"/>
    <mergeCell ref="G28:I28"/>
    <mergeCell ref="J28:N28"/>
    <mergeCell ref="O28:R28"/>
    <mergeCell ref="S28:V28"/>
    <mergeCell ref="X28:Z28"/>
    <mergeCell ref="A30:F30"/>
    <mergeCell ref="G30:I30"/>
    <mergeCell ref="J30:N30"/>
    <mergeCell ref="O30:R30"/>
    <mergeCell ref="S30:V30"/>
    <mergeCell ref="X30:Z30"/>
    <mergeCell ref="AP26:AR26"/>
    <mergeCell ref="AG28:AH28"/>
    <mergeCell ref="AK28:AM28"/>
    <mergeCell ref="AP28:AR28"/>
    <mergeCell ref="A24:F24"/>
    <mergeCell ref="G24:I24"/>
    <mergeCell ref="J24:N24"/>
    <mergeCell ref="O24:R24"/>
    <mergeCell ref="S24:V24"/>
    <mergeCell ref="X24:Z24"/>
    <mergeCell ref="A26:F26"/>
    <mergeCell ref="G26:I26"/>
    <mergeCell ref="J26:N26"/>
    <mergeCell ref="R26:U26"/>
    <mergeCell ref="AG26:AH26"/>
    <mergeCell ref="AK26:AM26"/>
    <mergeCell ref="AG24:AH24"/>
    <mergeCell ref="AK24:AM24"/>
    <mergeCell ref="AP24:AR24"/>
    <mergeCell ref="AH14:AK15"/>
    <mergeCell ref="AM14:AQ15"/>
    <mergeCell ref="M15:R16"/>
    <mergeCell ref="T15:AA16"/>
    <mergeCell ref="AE19:AE21"/>
    <mergeCell ref="AG19:AH22"/>
    <mergeCell ref="AK20:AM20"/>
    <mergeCell ref="AH8:AK9"/>
    <mergeCell ref="AM8:AQ9"/>
    <mergeCell ref="A9:C10"/>
    <mergeCell ref="F9:I10"/>
    <mergeCell ref="M9:R10"/>
    <mergeCell ref="T9:AA10"/>
    <mergeCell ref="AP20:AR20"/>
    <mergeCell ref="AH11:AK12"/>
    <mergeCell ref="AM11:AQ12"/>
    <mergeCell ref="A12:D13"/>
    <mergeCell ref="F12:I13"/>
    <mergeCell ref="K12:R13"/>
    <mergeCell ref="T12:AA13"/>
    <mergeCell ref="A19:E21"/>
    <mergeCell ref="F19:H21"/>
    <mergeCell ref="I19:L21"/>
    <mergeCell ref="N19:P22"/>
    <mergeCell ref="R19:V22"/>
    <mergeCell ref="W19:AD22"/>
    <mergeCell ref="B2:N2"/>
    <mergeCell ref="A4:C5"/>
    <mergeCell ref="F4:I5"/>
    <mergeCell ref="M4:R5"/>
    <mergeCell ref="T4:AI5"/>
    <mergeCell ref="A7:C7"/>
    <mergeCell ref="F7:I7"/>
    <mergeCell ref="L7:R7"/>
    <mergeCell ref="T7:AB7"/>
  </mergeCells>
  <phoneticPr fontId="2" type="noConversion"/>
  <pageMargins left="0.16597222222222222" right="0.16597222222222222" top="0.16597222222222222" bottom="0.16597222222222222" header="0" footer="0"/>
  <pageSetup paperSize="9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Ryan (XTB3NYJ)</dc:creator>
  <cp:lastModifiedBy>Chi Ryan (XTB3NYJ)</cp:lastModifiedBy>
  <dcterms:created xsi:type="dcterms:W3CDTF">2022-03-25T07:15:33Z</dcterms:created>
  <dcterms:modified xsi:type="dcterms:W3CDTF">2022-04-27T10:20:42Z</dcterms:modified>
</cp:coreProperties>
</file>